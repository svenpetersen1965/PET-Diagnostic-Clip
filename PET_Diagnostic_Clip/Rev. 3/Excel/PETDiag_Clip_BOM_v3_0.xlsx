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Diagostics\PET_Diagnostic_Clip\Rev. 3\Excel\"/>
    </mc:Choice>
  </mc:AlternateContent>
  <xr:revisionPtr revIDLastSave="0" documentId="13_ncr:1_{C50A886C-6A59-488F-B509-4CD98A232B14}" xr6:coauthVersionLast="47" xr6:coauthVersionMax="47" xr10:uidLastSave="{00000000-0000-0000-0000-000000000000}"/>
  <bookViews>
    <workbookView xWindow="3780" yWindow="108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Stückliste!$A$1:$F$22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22" i="1" l="1"/>
  <c r="A21" i="1"/>
  <c r="A15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<sst xmlns="http://schemas.openxmlformats.org/spreadsheetml/2006/main" count="75" uniqueCount="72">
  <si>
    <t>Pos.</t>
  </si>
  <si>
    <t>Qty</t>
  </si>
  <si>
    <t>Value</t>
  </si>
  <si>
    <t>Footprint</t>
  </si>
  <si>
    <t>Ref.-No.</t>
  </si>
  <si>
    <t>Comment</t>
  </si>
  <si>
    <t>2 Layer</t>
  </si>
  <si>
    <t>2 layer, Cu 35µ, HASL, 77.0mm x 47.0mm, 1.6mm FR4</t>
  </si>
  <si>
    <t>1X02</t>
  </si>
  <si>
    <t>2X20WV</t>
  </si>
  <si>
    <t>J1</t>
  </si>
  <si>
    <t>C-2,5</t>
  </si>
  <si>
    <t>C1, C2</t>
  </si>
  <si>
    <t>10k</t>
  </si>
  <si>
    <t>R-10</t>
  </si>
  <si>
    <t>DO-201</t>
  </si>
  <si>
    <t>D1</t>
  </si>
  <si>
    <t>330R</t>
  </si>
  <si>
    <t>R5</t>
  </si>
  <si>
    <t>3mm/gn</t>
  </si>
  <si>
    <t>3MM</t>
  </si>
  <si>
    <t>LD1</t>
  </si>
  <si>
    <t>74LS20</t>
  </si>
  <si>
    <t>DIL-14</t>
  </si>
  <si>
    <t>IC2</t>
  </si>
  <si>
    <t>DIPSW-04</t>
  </si>
  <si>
    <t>DIPSW-04V-COMBI</t>
  </si>
  <si>
    <t>SW2</t>
  </si>
  <si>
    <t>DPDT_9MM</t>
  </si>
  <si>
    <t>JTP-1130</t>
  </si>
  <si>
    <t>SW1</t>
  </si>
  <si>
    <t>M27C512-DIP28</t>
  </si>
  <si>
    <t>DIL28-6</t>
  </si>
  <si>
    <t>IC1</t>
  </si>
  <si>
    <t>2x20 box header, 2.54mm pitch</t>
  </si>
  <si>
    <t>2x20, box pin header or standard pin header, e.g. reichelt.de WSL 40G</t>
  </si>
  <si>
    <t>5V TVS diode. ST Micro. E.g. Reichelt: 1N 5908, tme.eu: 1N5908</t>
  </si>
  <si>
    <t>1/4W, 5%</t>
  </si>
  <si>
    <t>e.G. RENESAS, e.G. Reichelt LS 20</t>
  </si>
  <si>
    <t>cer. cap, 2.5mm pitch</t>
  </si>
  <si>
    <t>100n/50V</t>
  </si>
  <si>
    <t>Standard DIP-Switch with 4 switches (switch side facing up) The DIP-Switch can be replaced with a 2 switch DIP Switch and hardwire switch 3 and 4. Reichelt NT 04 or NT 02</t>
  </si>
  <si>
    <t>do not place</t>
  </si>
  <si>
    <t>SW3</t>
  </si>
  <si>
    <t>SW4</t>
  </si>
  <si>
    <t>M27C512 EPROM (or M27C256 or M27C128)</t>
  </si>
  <si>
    <t>mini slide switch, 2.54mm, DPDT, through hole</t>
  </si>
  <si>
    <t>standard TACT switch 6mm x 6mm, height = 13mm</t>
  </si>
  <si>
    <t>Ali Express, ebay, Amazon, search term "MSS22D18"</t>
  </si>
  <si>
    <t>1N5908</t>
  </si>
  <si>
    <t>standard LED 3mm/green + 5mm distance holder for 3mm LED</t>
  </si>
  <si>
    <t>JUMPER1x3</t>
  </si>
  <si>
    <t>1X03</t>
  </si>
  <si>
    <t>(IC1)</t>
  </si>
  <si>
    <t>DIP 28 socket, low profile</t>
  </si>
  <si>
    <t>e.g. Reichelt.de: GS 28P</t>
  </si>
  <si>
    <t>2x20 pin IDC receptacle, pitch 2.54mm</t>
  </si>
  <si>
    <t>e.g. Reichelt.de: PFL 40</t>
  </si>
  <si>
    <t>cm ribbon cable, 40p, AWG28</t>
  </si>
  <si>
    <t>e.g. Reichelt.de:  AWG 28-40G 3M</t>
  </si>
  <si>
    <t>Commodore PET Diagnostic: Diagnostic Clip Rev. 3</t>
  </si>
  <si>
    <t>Bill of Material Rev. 3.0</t>
  </si>
  <si>
    <t>163-2-01-03</t>
  </si>
  <si>
    <t>PCB Rev. 3</t>
  </si>
  <si>
    <t>Reichelt.de: T217 or AliExpress SS22F25-G7</t>
  </si>
  <si>
    <t>R1, R2, R3, R4, R6, R7</t>
  </si>
  <si>
    <t>JP1</t>
  </si>
  <si>
    <t xml:space="preserve">DPDT switch </t>
  </si>
  <si>
    <t>3D printed case</t>
  </si>
  <si>
    <t>Rev. 3</t>
  </si>
  <si>
    <t>C2.9x9.5H</t>
  </si>
  <si>
    <t>self tapping screws, DIN7981 (dia 2.9mm, length 9.5mm)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</si>
</sst>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3" fillId="0" borderId="0" xfId="0" applyFont="1" applyAlignment="1">
      <alignment vertical="top" wrapText="1"/>
    </xf>
    <xf numFmtId="49" fontId="2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22" totalsRowShown="0" headerRowDxfId="7" dataDxfId="6">
  <autoFilter ref="A3:F22" xr:uid="{00000000-0009-0000-0100-000001000000}"/>
  <sortState xmlns:xlrd2="http://schemas.microsoft.com/office/spreadsheetml/2017/richdata2" ref="A4:F34">
    <sortCondition ref="E3:E34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view="pageLayout" zoomScaleNormal="100" workbookViewId="0">
      <selection sqref="A1:F22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9" t="s">
        <v>60</v>
      </c>
      <c r="B1" s="19"/>
      <c r="C1" s="19"/>
      <c r="D1" s="19"/>
      <c r="E1" s="19"/>
      <c r="F1" s="19"/>
    </row>
    <row r="2" spans="1:6" ht="20.399999999999999" x14ac:dyDescent="0.35">
      <c r="A2" s="20" t="s">
        <v>61</v>
      </c>
      <c r="B2" s="20"/>
      <c r="C2" s="20"/>
      <c r="D2" s="20"/>
      <c r="E2" s="20"/>
      <c r="F2" s="20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6" t="s">
        <v>62</v>
      </c>
      <c r="D4" s="10" t="s">
        <v>6</v>
      </c>
      <c r="E4" s="16" t="s">
        <v>63</v>
      </c>
      <c r="F4" s="11" t="s">
        <v>7</v>
      </c>
    </row>
    <row r="5" spans="1:6" s="6" customFormat="1" x14ac:dyDescent="0.3">
      <c r="A5" s="3">
        <f>A4+1</f>
        <v>2</v>
      </c>
      <c r="B5" s="3">
        <v>1</v>
      </c>
      <c r="C5" s="17" t="s">
        <v>67</v>
      </c>
      <c r="D5" s="10" t="s">
        <v>8</v>
      </c>
      <c r="E5" s="16" t="s">
        <v>44</v>
      </c>
      <c r="F5" s="16" t="s">
        <v>64</v>
      </c>
    </row>
    <row r="6" spans="1:6" s="6" customFormat="1" ht="27.6" x14ac:dyDescent="0.3">
      <c r="A6" s="3">
        <f t="shared" ref="A6:A17" si="0">A5+1</f>
        <v>3</v>
      </c>
      <c r="B6" s="3">
        <v>1</v>
      </c>
      <c r="C6" s="11" t="s">
        <v>34</v>
      </c>
      <c r="D6" s="10" t="s">
        <v>9</v>
      </c>
      <c r="E6" s="11" t="s">
        <v>10</v>
      </c>
      <c r="F6" s="11" t="s">
        <v>35</v>
      </c>
    </row>
    <row r="7" spans="1:6" s="6" customFormat="1" x14ac:dyDescent="0.3">
      <c r="A7" s="3">
        <f t="shared" si="0"/>
        <v>4</v>
      </c>
      <c r="B7" s="3">
        <v>2</v>
      </c>
      <c r="C7" s="11" t="s">
        <v>40</v>
      </c>
      <c r="D7" s="10" t="s">
        <v>11</v>
      </c>
      <c r="E7" s="11" t="s">
        <v>12</v>
      </c>
      <c r="F7" s="11" t="s">
        <v>39</v>
      </c>
    </row>
    <row r="8" spans="1:6" s="6" customFormat="1" x14ac:dyDescent="0.3">
      <c r="A8" s="3">
        <f t="shared" si="0"/>
        <v>5</v>
      </c>
      <c r="B8" s="3">
        <v>6</v>
      </c>
      <c r="C8" s="11" t="s">
        <v>13</v>
      </c>
      <c r="D8" s="10" t="s">
        <v>14</v>
      </c>
      <c r="E8" s="16" t="s">
        <v>65</v>
      </c>
      <c r="F8" s="11" t="s">
        <v>37</v>
      </c>
    </row>
    <row r="9" spans="1:6" s="6" customFormat="1" ht="27.6" x14ac:dyDescent="0.3">
      <c r="A9" s="3">
        <f t="shared" si="0"/>
        <v>6</v>
      </c>
      <c r="B9" s="3">
        <v>1</v>
      </c>
      <c r="C9" s="13" t="s">
        <v>49</v>
      </c>
      <c r="D9" s="10" t="s">
        <v>15</v>
      </c>
      <c r="E9" s="11" t="s">
        <v>16</v>
      </c>
      <c r="F9" s="11" t="s">
        <v>36</v>
      </c>
    </row>
    <row r="10" spans="1:6" s="6" customFormat="1" x14ac:dyDescent="0.3">
      <c r="A10" s="3">
        <f t="shared" si="0"/>
        <v>7</v>
      </c>
      <c r="B10" s="3">
        <v>1</v>
      </c>
      <c r="C10" s="11" t="s">
        <v>17</v>
      </c>
      <c r="D10" s="10" t="s">
        <v>14</v>
      </c>
      <c r="E10" s="11" t="s">
        <v>18</v>
      </c>
      <c r="F10" s="11" t="s">
        <v>37</v>
      </c>
    </row>
    <row r="11" spans="1:6" s="6" customFormat="1" ht="27.6" x14ac:dyDescent="0.3">
      <c r="A11" s="3">
        <f t="shared" si="0"/>
        <v>8</v>
      </c>
      <c r="B11" s="3">
        <v>1</v>
      </c>
      <c r="C11" s="13" t="s">
        <v>19</v>
      </c>
      <c r="D11" s="12" t="s">
        <v>20</v>
      </c>
      <c r="E11" s="11" t="s">
        <v>21</v>
      </c>
      <c r="F11" s="13" t="s">
        <v>50</v>
      </c>
    </row>
    <row r="12" spans="1:6" s="6" customFormat="1" x14ac:dyDescent="0.3">
      <c r="A12" s="3">
        <f t="shared" si="0"/>
        <v>9</v>
      </c>
      <c r="B12" s="3">
        <v>1</v>
      </c>
      <c r="C12" s="11" t="s">
        <v>22</v>
      </c>
      <c r="D12" s="10" t="s">
        <v>23</v>
      </c>
      <c r="E12" s="11" t="s">
        <v>24</v>
      </c>
      <c r="F12" s="11" t="s">
        <v>38</v>
      </c>
    </row>
    <row r="13" spans="1:6" s="6" customFormat="1" ht="41.4" x14ac:dyDescent="0.3">
      <c r="A13" s="3">
        <f t="shared" si="0"/>
        <v>10</v>
      </c>
      <c r="B13" s="3">
        <v>1</v>
      </c>
      <c r="C13" s="11" t="s">
        <v>25</v>
      </c>
      <c r="D13" s="10" t="s">
        <v>26</v>
      </c>
      <c r="E13" s="11" t="s">
        <v>27</v>
      </c>
      <c r="F13" s="11" t="s">
        <v>41</v>
      </c>
    </row>
    <row r="14" spans="1:6" s="6" customFormat="1" ht="27.6" x14ac:dyDescent="0.3">
      <c r="A14" s="3">
        <f t="shared" si="0"/>
        <v>11</v>
      </c>
      <c r="B14" s="3">
        <v>1</v>
      </c>
      <c r="C14" s="11" t="s">
        <v>46</v>
      </c>
      <c r="D14" s="10" t="s">
        <v>28</v>
      </c>
      <c r="E14" s="11" t="s">
        <v>43</v>
      </c>
      <c r="F14" s="11" t="s">
        <v>48</v>
      </c>
    </row>
    <row r="15" spans="1:6" s="6" customFormat="1" x14ac:dyDescent="0.3">
      <c r="A15" s="3">
        <f t="shared" si="0"/>
        <v>12</v>
      </c>
      <c r="B15" s="3">
        <v>1</v>
      </c>
      <c r="C15" s="11" t="s">
        <v>29</v>
      </c>
      <c r="D15" s="10" t="s">
        <v>29</v>
      </c>
      <c r="E15" s="11" t="s">
        <v>30</v>
      </c>
      <c r="F15" s="11" t="s">
        <v>47</v>
      </c>
    </row>
    <row r="16" spans="1:6" s="6" customFormat="1" x14ac:dyDescent="0.3">
      <c r="A16" s="3">
        <f t="shared" si="0"/>
        <v>13</v>
      </c>
      <c r="B16" s="3">
        <v>1</v>
      </c>
      <c r="C16" s="13" t="s">
        <v>51</v>
      </c>
      <c r="D16" s="14" t="s">
        <v>52</v>
      </c>
      <c r="E16" s="16" t="s">
        <v>66</v>
      </c>
      <c r="F16" s="11" t="s">
        <v>42</v>
      </c>
    </row>
    <row r="17" spans="1:6" s="6" customFormat="1" x14ac:dyDescent="0.3">
      <c r="A17" s="3">
        <f t="shared" si="0"/>
        <v>14</v>
      </c>
      <c r="B17" s="3">
        <v>1</v>
      </c>
      <c r="C17" s="13" t="s">
        <v>31</v>
      </c>
      <c r="D17" s="10" t="s">
        <v>32</v>
      </c>
      <c r="E17" s="11" t="s">
        <v>33</v>
      </c>
      <c r="F17" s="11" t="s">
        <v>45</v>
      </c>
    </row>
    <row r="18" spans="1:6" s="6" customFormat="1" x14ac:dyDescent="0.3">
      <c r="A18" s="13">
        <f>A17+1</f>
        <v>15</v>
      </c>
      <c r="B18" s="13">
        <v>1</v>
      </c>
      <c r="C18" s="13" t="s">
        <v>54</v>
      </c>
      <c r="D18" s="15"/>
      <c r="E18" s="13" t="s">
        <v>53</v>
      </c>
      <c r="F18" s="13" t="s">
        <v>55</v>
      </c>
    </row>
    <row r="19" spans="1:6" s="6" customFormat="1" ht="27.6" x14ac:dyDescent="0.3">
      <c r="A19" s="13">
        <f t="shared" ref="A19:A20" si="1">A18+1</f>
        <v>16</v>
      </c>
      <c r="B19" s="13">
        <v>2</v>
      </c>
      <c r="C19" s="13" t="s">
        <v>56</v>
      </c>
      <c r="D19" s="15"/>
      <c r="E19" s="13"/>
      <c r="F19" s="13" t="s">
        <v>57</v>
      </c>
    </row>
    <row r="20" spans="1:6" s="6" customFormat="1" ht="27.6" x14ac:dyDescent="0.3">
      <c r="A20" s="13">
        <f t="shared" si="1"/>
        <v>17</v>
      </c>
      <c r="B20" s="13">
        <v>15</v>
      </c>
      <c r="C20" s="13" t="s">
        <v>58</v>
      </c>
      <c r="D20" s="15"/>
      <c r="E20" s="13"/>
      <c r="F20" s="13" t="s">
        <v>59</v>
      </c>
    </row>
    <row r="21" spans="1:6" s="6" customFormat="1" x14ac:dyDescent="0.3">
      <c r="A21" s="17">
        <f>A20+1</f>
        <v>18</v>
      </c>
      <c r="B21" s="17">
        <v>1</v>
      </c>
      <c r="C21" s="17" t="s">
        <v>68</v>
      </c>
      <c r="D21" s="18"/>
      <c r="E21" s="17"/>
      <c r="F21" s="17" t="s">
        <v>69</v>
      </c>
    </row>
    <row r="22" spans="1:6" s="6" customFormat="1" x14ac:dyDescent="0.3">
      <c r="A22" s="17">
        <f>A21+1</f>
        <v>19</v>
      </c>
      <c r="B22" s="17">
        <v>4</v>
      </c>
      <c r="C22" s="17" t="s">
        <v>70</v>
      </c>
      <c r="D22" s="18"/>
      <c r="E22" s="17"/>
      <c r="F22" s="17" t="s">
        <v>71</v>
      </c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A34" s="3"/>
      <c r="B34" s="3"/>
      <c r="C34" s="3"/>
      <c r="D34" s="4"/>
      <c r="E34" s="3"/>
      <c r="F34" s="3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s="6" customFormat="1" x14ac:dyDescent="0.3">
      <c r="D124" s="7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  <row r="148" spans="3:6" x14ac:dyDescent="0.3">
      <c r="C148" s="2"/>
      <c r="D148" s="5"/>
      <c r="F148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163-5-01-03.0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2026-07-20T18:12:55Z</cp:lastPrinted>
  <dcterms:created xsi:type="dcterms:W3CDTF">2018-03-09T10:12:49Z</dcterms:created>
  <dcterms:modified xsi:type="dcterms:W3CDTF">2026-07-20T18:13:08Z</dcterms:modified>
</cp:coreProperties>
</file>